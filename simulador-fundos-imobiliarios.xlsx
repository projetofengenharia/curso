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ulador" sheetId="1" state="visible" r:id="rId3"/>
    <sheet name="Configuracoes" sheetId="2" state="visible" r:id="rId4"/>
    <sheet name="Apoio" sheetId="3" state="visible" r:id="rId5"/>
  </sheets>
  <definedNames>
    <definedName function="false" hidden="false" name="anos" vbProcedure="false">Simulador!$C$6</definedName>
    <definedName function="false" hidden="false" name="aporte" vbProcedure="false">Simulador!$C$5</definedName>
    <definedName function="false" hidden="false" name="aporte_sugerido" vbProcedure="false">Configuracoes!$C$8</definedName>
    <definedName function="false" hidden="false" name="lista_perfis" vbProcedure="false">Apoio!$G$6:$G$8</definedName>
    <definedName function="false" hidden="false" name="patrimonio" vbProcedure="false">Simulador!$C$11</definedName>
    <definedName function="false" hidden="false" name="pct_sugestao" vbProcedure="false">Configuracoes!$C$7</definedName>
    <definedName function="false" hidden="false" name="perfil" vbProcedure="false">Simulador!$C$8</definedName>
    <definedName function="false" hidden="false" name="salario" vbProcedure="false">Configuracoes!$C$5</definedName>
    <definedName function="false" hidden="false" name="tabela_perfis" vbProcedure="false">Apoio!$B$6:$E$23</definedName>
    <definedName function="false" hidden="false" name="taxa_mensal" vbProcedure="false">Configuracoes!$C$6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1" authorId="0">
      <text>
        <r>
          <rPr>
            <sz val="10"/>
            <rFont val="Arial"/>
            <family val="2"/>
          </rPr>
          <t xml:space="preserve">VF(taxa; nº de meses; aporte negativo). O aporte entra negativo porque é dinheiro saindo do seu bolso.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A chave junta perfil e tipo num texto só (ex.: ModeradoLogística), para o PROCV achar a combinação certa. Fica na 1ª coluna porque o PROCV sempre procura na coluna mais à esquerda.</t>
        </r>
      </text>
    </comment>
  </commentList>
</comments>
</file>

<file path=xl/sharedStrings.xml><?xml version="1.0" encoding="utf-8"?>
<sst xmlns="http://schemas.openxmlformats.org/spreadsheetml/2006/main" count="96" uniqueCount="55">
  <si>
    <t xml:space="preserve">Simulador de Fundos Imobiliários</t>
  </si>
  <si>
    <t xml:space="preserve">Preencha as células amarelas. As cinzas são calculadas — não edite.</t>
  </si>
  <si>
    <t xml:space="preserve">1. Sua simulação</t>
  </si>
  <si>
    <t xml:space="preserve">5. Divisão do aporte pelo perfil</t>
  </si>
  <si>
    <t xml:space="preserve">Quanto investir por mês?</t>
  </si>
  <si>
    <t xml:space="preserve">Tipo de fundo</t>
  </si>
  <si>
    <t xml:space="preserve">%</t>
  </si>
  <si>
    <t xml:space="preserve">Aporte/mês</t>
  </si>
  <si>
    <t xml:space="preserve">Patrimônio no prazo</t>
  </si>
  <si>
    <t xml:space="preserve">Por quantos anos?</t>
  </si>
  <si>
    <t xml:space="preserve">Papel (CRI)</t>
  </si>
  <si>
    <t xml:space="preserve">Taxa de rendimento mensal</t>
  </si>
  <si>
    <t xml:space="preserve">Logística</t>
  </si>
  <si>
    <t xml:space="preserve">Perfil de investidor</t>
  </si>
  <si>
    <t xml:space="preserve">Moderado</t>
  </si>
  <si>
    <t xml:space="preserve">Lajes corporativas</t>
  </si>
  <si>
    <t xml:space="preserve">Shoppings</t>
  </si>
  <si>
    <t xml:space="preserve">2. Resultado</t>
  </si>
  <si>
    <t xml:space="preserve">Fundo de fundos (FoF)</t>
  </si>
  <si>
    <t xml:space="preserve">Patrimônio acumulado</t>
  </si>
  <si>
    <t xml:space="preserve">Híbridos</t>
  </si>
  <si>
    <t xml:space="preserve">Dividendos por mês</t>
  </si>
  <si>
    <t xml:space="preserve">Total</t>
  </si>
  <si>
    <t xml:space="preserve">Total aportado do próprio bolso</t>
  </si>
  <si>
    <t xml:space="preserve">Ganho com rendimentos</t>
  </si>
  <si>
    <t xml:space="preserve">3. Cenários (mesmo aporte e taxa)</t>
  </si>
  <si>
    <t xml:space="preserve">Prazo</t>
  </si>
  <si>
    <t xml:space="preserve">Patrimônio</t>
  </si>
  <si>
    <t xml:space="preserve">Dividendos/mês em 30 anos</t>
  </si>
  <si>
    <t xml:space="preserve">4. E se eu aportar 30% do salário?</t>
  </si>
  <si>
    <t xml:space="preserve">Aporte sugerido</t>
  </si>
  <si>
    <t xml:space="preserve">Patrimônio no mesmo prazo</t>
  </si>
  <si>
    <t xml:space="preserve">Diferença vs. seu aporte</t>
  </si>
  <si>
    <t xml:space="preserve">Legenda: amarelo = você preenche · cinza = calculado · azul = valor digitado.</t>
  </si>
  <si>
    <t xml:space="preserve">Valores e percentuais de exemplo. Isto não é recomendação de investimento.</t>
  </si>
  <si>
    <t xml:space="preserve">Configurações</t>
  </si>
  <si>
    <t xml:space="preserve">Valores de exemplo — troque pelos seus apenas na sua cópia local</t>
  </si>
  <si>
    <t xml:space="preserve">Dados do investidor</t>
  </si>
  <si>
    <t xml:space="preserve">Salário mensal (exemplo)</t>
  </si>
  <si>
    <t xml:space="preserve">Salário fictício, só para demonstrar a ferramenta.</t>
  </si>
  <si>
    <t xml:space="preserve">Rendimento mensal da carteira</t>
  </si>
  <si>
    <t xml:space="preserve">Premissa de exemplo (~0,8% a.m.), não é promessa de rendimento.</t>
  </si>
  <si>
    <t xml:space="preserve">Sugestão de aporte (% do salário)</t>
  </si>
  <si>
    <t xml:space="preserve">Regra de bolso usada nas aulas: guardar 30% do salário.</t>
  </si>
  <si>
    <t xml:space="preserve">Apoio</t>
  </si>
  <si>
    <t xml:space="preserve">Tabelas que alimentam listas e o PROCV — cada perfil precisa somar 100%</t>
  </si>
  <si>
    <t xml:space="preserve">Tabela de perfil × tipo de fundo</t>
  </si>
  <si>
    <t xml:space="preserve">Perfis</t>
  </si>
  <si>
    <t xml:space="preserve">Chave (perfil&amp;tipo)</t>
  </si>
  <si>
    <t xml:space="preserve">Perfil</t>
  </si>
  <si>
    <t xml:space="preserve">Percentual</t>
  </si>
  <si>
    <t xml:space="preserve">Soma</t>
  </si>
  <si>
    <t xml:space="preserve">Conservador</t>
  </si>
  <si>
    <t xml:space="preserve">Arrojado</t>
  </si>
  <si>
    <t xml:space="preserve">Percentuais de exemplo, não são recomendação de investimento.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</si>
</sst>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;&quot;-R$ &quot;#,##0.00;\-"/>
    <numFmt numFmtId="166" formatCode="0&quot; anos&quot;"/>
    <numFmt numFmtId="167" formatCode="0%"/>
    <numFmt numFmtId="168" formatCode="0.0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i val="true"/>
      <sz val="10"/>
      <color rgb="FFDDEFE6"/>
      <name val="Arial"/>
      <family val="0"/>
      <charset val="1"/>
    </font>
    <font>
      <b val="true"/>
      <sz val="12"/>
      <color rgb="FF1F6F5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1F6F5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6F50"/>
        <bgColor rgb="FF008080"/>
      </patternFill>
    </fill>
    <fill>
      <patternFill patternType="solid">
        <fgColor rgb="FFFFF4CC"/>
        <bgColor rgb="FFFFFFFF"/>
      </patternFill>
    </fill>
    <fill>
      <patternFill patternType="solid">
        <fgColor rgb="FFE7E6E6"/>
        <bgColor rgb="FFDDEF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50"/>
      <rgbColor rgb="FFBFBFBF"/>
      <rgbColor rgb="FF7F7F7F"/>
      <rgbColor rgb="FF9999FF"/>
      <rgbColor rgb="FFC0504D"/>
      <rgbColor rgb="FFFFF4CC"/>
      <rgbColor rgb="FFDDEFE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Divisão do aporte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Simulador!G5</c:f>
              <c:strCache>
                <c:ptCount val="1"/>
                <c:pt idx="0">
                  <c:v>Aporte/mês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Simulador!$E$6:$E$11</c:f>
              <c:strCache>
                <c:ptCount val="6"/>
                <c:pt idx="0">
                  <c:v>Papel (CRI)</c:v>
                </c:pt>
                <c:pt idx="1">
                  <c:v>Logística</c:v>
                </c:pt>
                <c:pt idx="2">
                  <c:v>Lajes corporativas</c:v>
                </c:pt>
                <c:pt idx="3">
                  <c:v>Shoppings</c:v>
                </c:pt>
                <c:pt idx="4">
                  <c:v>Fundo de fundos (FoF)</c:v>
                </c:pt>
                <c:pt idx="5">
                  <c:v>Híbridos</c:v>
                </c:pt>
              </c:strCache>
            </c:strRef>
          </c:cat>
          <c:val>
            <c:numRef>
              <c:f>Simulador!$G$6:$G$11</c:f>
              <c:numCache>
                <c:formatCode>"R$ "#,##0.00;"-R$ "#,##0.00;\-</c:formatCode>
                <c:ptCount val="6"/>
                <c:pt idx="0">
                  <c:v>250</c:v>
                </c:pt>
                <c:pt idx="1">
                  <c:v>250</c:v>
                </c:pt>
                <c:pt idx="2">
                  <c:v>150</c:v>
                </c:pt>
                <c:pt idx="3">
                  <c:v>150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14</xdr:row>
      <xdr:rowOff>0</xdr:rowOff>
    </xdr:from>
    <xdr:to>
      <xdr:col>7</xdr:col>
      <xdr:colOff>732600</xdr:colOff>
      <xdr:row>29</xdr:row>
      <xdr:rowOff>22320</xdr:rowOff>
    </xdr:to>
    <xdr:graphicFrame>
      <xdr:nvGraphicFramePr>
        <xdr:cNvPr id="0" name="Chart 1"/>
        <xdr:cNvGraphicFramePr/>
      </xdr:nvGraphicFramePr>
      <xdr:xfrm>
        <a:off x="4158720" y="300996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4"/>
  </cols>
  <sheetData>
    <row r="1" customFormat="false" ht="37.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1"/>
      <c r="B2" s="3" t="s">
        <v>1</v>
      </c>
      <c r="C2" s="3"/>
      <c r="D2" s="3"/>
      <c r="E2" s="3"/>
      <c r="F2" s="3"/>
      <c r="G2" s="3"/>
      <c r="H2" s="3"/>
      <c r="I2" s="3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</row>
    <row r="4" customFormat="false" ht="15" hidden="false" customHeight="false" outlineLevel="0" collapsed="false">
      <c r="A4" s="4"/>
      <c r="B4" s="5" t="s">
        <v>2</v>
      </c>
      <c r="C4" s="4"/>
      <c r="D4" s="4"/>
      <c r="E4" s="5" t="s">
        <v>3</v>
      </c>
      <c r="F4" s="4"/>
      <c r="G4" s="4"/>
      <c r="H4" s="4"/>
      <c r="I4" s="4"/>
    </row>
    <row r="5" customFormat="false" ht="15" hidden="false" customHeight="false" outlineLevel="0" collapsed="false">
      <c r="A5" s="4"/>
      <c r="B5" s="6" t="s">
        <v>4</v>
      </c>
      <c r="C5" s="7" t="n">
        <v>1000</v>
      </c>
      <c r="D5" s="4"/>
      <c r="E5" s="8" t="s">
        <v>5</v>
      </c>
      <c r="F5" s="8" t="s">
        <v>6</v>
      </c>
      <c r="G5" s="8" t="s">
        <v>7</v>
      </c>
      <c r="H5" s="8" t="s">
        <v>8</v>
      </c>
      <c r="I5" s="4"/>
    </row>
    <row r="6" customFormat="false" ht="15" hidden="false" customHeight="false" outlineLevel="0" collapsed="false">
      <c r="A6" s="4"/>
      <c r="B6" s="6" t="s">
        <v>9</v>
      </c>
      <c r="C6" s="9" t="n">
        <v>10</v>
      </c>
      <c r="D6" s="4"/>
      <c r="E6" s="10" t="s">
        <v>10</v>
      </c>
      <c r="F6" s="11" t="n">
        <f aca="false">IFERROR(VLOOKUP(perfil&amp;E6,tabela_perfis,4,0),0)</f>
        <v>0.25</v>
      </c>
      <c r="G6" s="12" t="n">
        <f aca="false">aporte*F6</f>
        <v>250</v>
      </c>
      <c r="H6" s="12" t="n">
        <f aca="false">patrimonio*F6</f>
        <v>50054.3673524792</v>
      </c>
      <c r="I6" s="4"/>
    </row>
    <row r="7" customFormat="false" ht="15" hidden="false" customHeight="false" outlineLevel="0" collapsed="false">
      <c r="A7" s="4"/>
      <c r="B7" s="6" t="s">
        <v>11</v>
      </c>
      <c r="C7" s="13" t="n">
        <f aca="false">taxa_mensal</f>
        <v>0.008</v>
      </c>
      <c r="D7" s="4"/>
      <c r="E7" s="10" t="s">
        <v>12</v>
      </c>
      <c r="F7" s="11" t="n">
        <f aca="false">IFERROR(VLOOKUP(perfil&amp;E7,tabela_perfis,4,0),0)</f>
        <v>0.25</v>
      </c>
      <c r="G7" s="12" t="n">
        <f aca="false">aporte*F7</f>
        <v>250</v>
      </c>
      <c r="H7" s="12" t="n">
        <f aca="false">patrimonio*F7</f>
        <v>50054.3673524792</v>
      </c>
      <c r="I7" s="4"/>
    </row>
    <row r="8" customFormat="false" ht="15" hidden="false" customHeight="false" outlineLevel="0" collapsed="false">
      <c r="A8" s="4"/>
      <c r="B8" s="6" t="s">
        <v>13</v>
      </c>
      <c r="C8" s="14" t="s">
        <v>14</v>
      </c>
      <c r="D8" s="4"/>
      <c r="E8" s="10" t="s">
        <v>15</v>
      </c>
      <c r="F8" s="11" t="n">
        <f aca="false">IFERROR(VLOOKUP(perfil&amp;E8,tabela_perfis,4,0),0)</f>
        <v>0.15</v>
      </c>
      <c r="G8" s="12" t="n">
        <f aca="false">aporte*F8</f>
        <v>150</v>
      </c>
      <c r="H8" s="12" t="n">
        <f aca="false">patrimonio*F8</f>
        <v>30032.6204114875</v>
      </c>
      <c r="I8" s="4"/>
    </row>
    <row r="9" customFormat="false" ht="15" hidden="false" customHeight="false" outlineLevel="0" collapsed="false">
      <c r="A9" s="4"/>
      <c r="B9" s="4"/>
      <c r="C9" s="4"/>
      <c r="D9" s="4"/>
      <c r="E9" s="10" t="s">
        <v>16</v>
      </c>
      <c r="F9" s="11" t="n">
        <f aca="false">IFERROR(VLOOKUP(perfil&amp;E9,tabela_perfis,4,0),0)</f>
        <v>0.15</v>
      </c>
      <c r="G9" s="12" t="n">
        <f aca="false">aporte*F9</f>
        <v>150</v>
      </c>
      <c r="H9" s="12" t="n">
        <f aca="false">patrimonio*F9</f>
        <v>30032.6204114875</v>
      </c>
      <c r="I9" s="4"/>
    </row>
    <row r="10" customFormat="false" ht="15" hidden="false" customHeight="false" outlineLevel="0" collapsed="false">
      <c r="A10" s="4"/>
      <c r="B10" s="5" t="s">
        <v>17</v>
      </c>
      <c r="C10" s="4"/>
      <c r="D10" s="4"/>
      <c r="E10" s="10" t="s">
        <v>18</v>
      </c>
      <c r="F10" s="11" t="n">
        <f aca="false">IFERROR(VLOOKUP(perfil&amp;E10,tabela_perfis,4,0),0)</f>
        <v>0.1</v>
      </c>
      <c r="G10" s="12" t="n">
        <f aca="false">aporte*F10</f>
        <v>100</v>
      </c>
      <c r="H10" s="12" t="n">
        <f aca="false">patrimonio*F10</f>
        <v>20021.7469409917</v>
      </c>
      <c r="I10" s="4"/>
    </row>
    <row r="11" customFormat="false" ht="15" hidden="false" customHeight="false" outlineLevel="0" collapsed="false">
      <c r="A11" s="4"/>
      <c r="B11" s="15" t="s">
        <v>19</v>
      </c>
      <c r="C11" s="16" t="n">
        <f aca="false">FV(taxa_mensal,anos*12,-aporte)</f>
        <v>200217.469409917</v>
      </c>
      <c r="D11" s="4"/>
      <c r="E11" s="10" t="s">
        <v>20</v>
      </c>
      <c r="F11" s="11" t="n">
        <f aca="false">IFERROR(VLOOKUP(perfil&amp;E11,tabela_perfis,4,0),0)</f>
        <v>0.1</v>
      </c>
      <c r="G11" s="12" t="n">
        <f aca="false">aporte*F11</f>
        <v>100</v>
      </c>
      <c r="H11" s="12" t="n">
        <f aca="false">patrimonio*F11</f>
        <v>20021.7469409917</v>
      </c>
      <c r="I11" s="4"/>
    </row>
    <row r="12" customFormat="false" ht="15" hidden="false" customHeight="false" outlineLevel="0" collapsed="false">
      <c r="A12" s="4"/>
      <c r="B12" s="15" t="s">
        <v>21</v>
      </c>
      <c r="C12" s="16" t="n">
        <f aca="false">patrimonio*taxa_mensal</f>
        <v>1601.73975527933</v>
      </c>
      <c r="D12" s="4"/>
      <c r="E12" s="8" t="s">
        <v>22</v>
      </c>
      <c r="F12" s="17" t="n">
        <f aca="false">SUM(F6:F11)</f>
        <v>1</v>
      </c>
      <c r="G12" s="16" t="n">
        <f aca="false">SUM(G6:G11)</f>
        <v>1000</v>
      </c>
      <c r="H12" s="16" t="n">
        <f aca="false">SUM(H6:H11)</f>
        <v>200217.469409917</v>
      </c>
      <c r="I12" s="4"/>
    </row>
    <row r="13" customFormat="false" ht="15" hidden="false" customHeight="false" outlineLevel="0" collapsed="false">
      <c r="A13" s="4"/>
      <c r="B13" s="6" t="s">
        <v>23</v>
      </c>
      <c r="C13" s="12" t="n">
        <f aca="false">aporte*anos*12</f>
        <v>120000</v>
      </c>
      <c r="D13" s="4"/>
      <c r="E13" s="18" t="str">
        <f aca="false">IF(ROUND(F12,4)=1,"✔ Perfil soma 100%","⚠ Perfil não soma 100% — confira a aba Apoio")</f>
        <v>✔ Perfil soma 100%</v>
      </c>
      <c r="F13" s="4"/>
      <c r="G13" s="4"/>
      <c r="H13" s="4"/>
      <c r="I13" s="4"/>
    </row>
    <row r="14" customFormat="false" ht="15" hidden="false" customHeight="false" outlineLevel="0" collapsed="false">
      <c r="A14" s="4"/>
      <c r="B14" s="6" t="s">
        <v>24</v>
      </c>
      <c r="C14" s="12" t="n">
        <f aca="false">patrimonio-C13</f>
        <v>80217.4694099167</v>
      </c>
      <c r="D14" s="4"/>
      <c r="E14" s="4"/>
      <c r="F14" s="4"/>
      <c r="G14" s="4"/>
      <c r="H14" s="4"/>
      <c r="I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</row>
    <row r="16" customFormat="false" ht="15" hidden="false" customHeight="false" outlineLevel="0" collapsed="false">
      <c r="A16" s="4"/>
      <c r="B16" s="5" t="s">
        <v>25</v>
      </c>
      <c r="C16" s="4"/>
      <c r="D16" s="4"/>
      <c r="E16" s="4"/>
      <c r="F16" s="4"/>
      <c r="G16" s="4"/>
      <c r="H16" s="4"/>
      <c r="I16" s="4"/>
    </row>
    <row r="17" customFormat="false" ht="15" hidden="false" customHeight="false" outlineLevel="0" collapsed="false">
      <c r="A17" s="4"/>
      <c r="B17" s="8" t="s">
        <v>26</v>
      </c>
      <c r="C17" s="8" t="s">
        <v>27</v>
      </c>
      <c r="D17" s="4"/>
      <c r="E17" s="4"/>
      <c r="F17" s="4"/>
      <c r="G17" s="4"/>
      <c r="H17" s="4"/>
      <c r="I17" s="4"/>
    </row>
    <row r="18" customFormat="false" ht="15" hidden="false" customHeight="false" outlineLevel="0" collapsed="false">
      <c r="A18" s="4"/>
      <c r="B18" s="19" t="n">
        <v>2</v>
      </c>
      <c r="C18" s="12" t="n">
        <f aca="false">FV(taxa_mensal,B18*12,-aporte)</f>
        <v>26343.1551111194</v>
      </c>
      <c r="D18" s="4"/>
      <c r="E18" s="4"/>
      <c r="F18" s="4"/>
      <c r="G18" s="4"/>
      <c r="H18" s="4"/>
      <c r="I18" s="4"/>
    </row>
    <row r="19" customFormat="false" ht="15" hidden="false" customHeight="false" outlineLevel="0" collapsed="false">
      <c r="A19" s="4"/>
      <c r="B19" s="19" t="n">
        <v>5</v>
      </c>
      <c r="C19" s="12" t="n">
        <f aca="false">FV(taxa_mensal,B19*12,-aporte)</f>
        <v>76623.8668318798</v>
      </c>
      <c r="D19" s="4"/>
      <c r="E19" s="4"/>
      <c r="F19" s="4"/>
      <c r="G19" s="4"/>
      <c r="H19" s="4"/>
      <c r="I19" s="4"/>
    </row>
    <row r="20" customFormat="false" ht="15" hidden="false" customHeight="false" outlineLevel="0" collapsed="false">
      <c r="A20" s="4"/>
      <c r="B20" s="19" t="n">
        <v>10</v>
      </c>
      <c r="C20" s="12" t="n">
        <f aca="false">FV(taxa_mensal,B20*12,-aporte)</f>
        <v>200217.469409917</v>
      </c>
      <c r="D20" s="4"/>
      <c r="E20" s="4"/>
      <c r="F20" s="4"/>
      <c r="G20" s="4"/>
      <c r="H20" s="4"/>
      <c r="I20" s="4"/>
    </row>
    <row r="21" customFormat="false" ht="15" hidden="false" customHeight="false" outlineLevel="0" collapsed="false">
      <c r="A21" s="4"/>
      <c r="B21" s="19" t="n">
        <v>20</v>
      </c>
      <c r="C21" s="12" t="n">
        <f aca="false">FV(taxa_mensal,B21*12,-aporte)</f>
        <v>721131.219275121</v>
      </c>
      <c r="D21" s="4"/>
      <c r="E21" s="4"/>
      <c r="F21" s="4"/>
      <c r="G21" s="4"/>
      <c r="H21" s="4"/>
      <c r="I21" s="4"/>
    </row>
    <row r="22" customFormat="false" ht="15" hidden="false" customHeight="false" outlineLevel="0" collapsed="false">
      <c r="A22" s="4"/>
      <c r="B22" s="19" t="n">
        <v>30</v>
      </c>
      <c r="C22" s="12" t="n">
        <f aca="false">FV(taxa_mensal,B22*12,-aporte)</f>
        <v>2076413.23137106</v>
      </c>
      <c r="D22" s="4"/>
      <c r="E22" s="4"/>
      <c r="F22" s="4"/>
      <c r="G22" s="4"/>
      <c r="H22" s="4"/>
      <c r="I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</row>
    <row r="24" customFormat="false" ht="15" hidden="false" customHeight="false" outlineLevel="0" collapsed="false">
      <c r="A24" s="4"/>
      <c r="B24" s="8" t="s">
        <v>28</v>
      </c>
      <c r="C24" s="16" t="n">
        <f aca="false">C22*taxa_mensal</f>
        <v>16611.3058509685</v>
      </c>
      <c r="D24" s="4"/>
      <c r="E24" s="4"/>
      <c r="F24" s="4"/>
      <c r="G24" s="4"/>
      <c r="H24" s="4"/>
      <c r="I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</row>
    <row r="26" customFormat="false" ht="15" hidden="false" customHeight="false" outlineLevel="0" collapsed="false">
      <c r="A26" s="4"/>
      <c r="B26" s="5" t="s">
        <v>29</v>
      </c>
      <c r="C26" s="4"/>
      <c r="D26" s="4"/>
      <c r="E26" s="4"/>
      <c r="F26" s="4"/>
      <c r="G26" s="4"/>
      <c r="H26" s="4"/>
      <c r="I26" s="4"/>
    </row>
    <row r="27" customFormat="false" ht="15" hidden="false" customHeight="false" outlineLevel="0" collapsed="false">
      <c r="A27" s="4"/>
      <c r="B27" s="6" t="s">
        <v>30</v>
      </c>
      <c r="C27" s="12" t="n">
        <f aca="false">aporte_sugerido</f>
        <v>1500</v>
      </c>
      <c r="D27" s="4"/>
      <c r="E27" s="4"/>
      <c r="F27" s="4"/>
      <c r="G27" s="4"/>
      <c r="H27" s="4"/>
      <c r="I27" s="4"/>
    </row>
    <row r="28" customFormat="false" ht="15" hidden="false" customHeight="false" outlineLevel="0" collapsed="false">
      <c r="A28" s="4"/>
      <c r="B28" s="6" t="s">
        <v>31</v>
      </c>
      <c r="C28" s="12" t="n">
        <f aca="false">FV(taxa_mensal,anos*12,-aporte_sugerido)</f>
        <v>300326.204114875</v>
      </c>
      <c r="D28" s="4"/>
      <c r="E28" s="4"/>
      <c r="F28" s="4"/>
      <c r="G28" s="4"/>
      <c r="H28" s="4"/>
      <c r="I28" s="4"/>
    </row>
    <row r="29" customFormat="false" ht="15" hidden="false" customHeight="false" outlineLevel="0" collapsed="false">
      <c r="A29" s="4"/>
      <c r="B29" s="6" t="s">
        <v>21</v>
      </c>
      <c r="C29" s="12" t="n">
        <f aca="false">C28*taxa_mensal</f>
        <v>2402.609632919</v>
      </c>
      <c r="D29" s="4"/>
      <c r="E29" s="4"/>
      <c r="F29" s="4"/>
      <c r="G29" s="4"/>
      <c r="H29" s="4"/>
      <c r="I29" s="4"/>
    </row>
    <row r="30" customFormat="false" ht="15" hidden="false" customHeight="false" outlineLevel="0" collapsed="false">
      <c r="A30" s="4"/>
      <c r="B30" s="6" t="s">
        <v>32</v>
      </c>
      <c r="C30" s="16" t="n">
        <f aca="false">C28-patrimonio</f>
        <v>100108.734704958</v>
      </c>
      <c r="D30" s="4"/>
      <c r="E30" s="4"/>
      <c r="F30" s="4"/>
      <c r="G30" s="4"/>
      <c r="H30" s="4"/>
      <c r="I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</row>
    <row r="32" customFormat="false" ht="15" hidden="false" customHeight="false" outlineLevel="0" collapsed="false">
      <c r="A32" s="4"/>
      <c r="B32" s="20" t="s">
        <v>33</v>
      </c>
      <c r="C32" s="4"/>
      <c r="D32" s="4"/>
      <c r="E32" s="4"/>
      <c r="F32" s="4"/>
      <c r="G32" s="4"/>
      <c r="H32" s="4"/>
      <c r="I32" s="4"/>
    </row>
    <row r="33" customFormat="false" ht="15" hidden="false" customHeight="false" outlineLevel="0" collapsed="false">
      <c r="A33" s="4"/>
      <c r="B33" s="20" t="s">
        <v>34</v>
      </c>
      <c r="C33" s="4"/>
      <c r="D33" s="4"/>
      <c r="E33" s="4"/>
      <c r="F33" s="4"/>
      <c r="G33" s="4"/>
      <c r="H33" s="4"/>
      <c r="I33" s="4"/>
    </row>
  </sheetData>
  <mergeCells count="2">
    <mergeCell ref="B1:I1"/>
    <mergeCell ref="B2:I2"/>
  </mergeCells>
  <dataValidations count="1">
    <dataValidation allowBlank="false" error="Escolha um perfil da lista." errorStyle="stop" errorTitle="Perfil inválido" operator="between" showDropDown="false" showErrorMessage="true" showInputMessage="false" sqref="C8" type="list">
      <formula1>lista_perfis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50"/>
  </cols>
  <sheetData>
    <row r="1" customFormat="false" ht="37.5" hidden="false" customHeight="true" outlineLevel="0" collapsed="false">
      <c r="A1" s="1"/>
      <c r="B1" s="2" t="s">
        <v>35</v>
      </c>
      <c r="C1" s="2"/>
      <c r="D1" s="2"/>
      <c r="E1" s="2"/>
      <c r="F1" s="1"/>
      <c r="G1" s="1"/>
      <c r="H1" s="1"/>
      <c r="I1" s="1"/>
    </row>
    <row r="2" customFormat="false" ht="19.5" hidden="false" customHeight="true" outlineLevel="0" collapsed="false">
      <c r="A2" s="1"/>
      <c r="B2" s="3" t="s">
        <v>36</v>
      </c>
      <c r="C2" s="3"/>
      <c r="D2" s="3"/>
      <c r="E2" s="3"/>
      <c r="F2" s="1"/>
      <c r="G2" s="1"/>
      <c r="H2" s="1"/>
      <c r="I2" s="1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</row>
    <row r="4" customFormat="false" ht="15" hidden="false" customHeight="false" outlineLevel="0" collapsed="false">
      <c r="A4" s="4"/>
      <c r="B4" s="5" t="s">
        <v>37</v>
      </c>
      <c r="C4" s="4"/>
      <c r="D4" s="4"/>
      <c r="E4" s="4"/>
      <c r="F4" s="4"/>
      <c r="G4" s="4"/>
      <c r="H4" s="4"/>
      <c r="I4" s="4"/>
    </row>
    <row r="5" customFormat="false" ht="15" hidden="false" customHeight="false" outlineLevel="0" collapsed="false">
      <c r="A5" s="4"/>
      <c r="B5" s="6" t="s">
        <v>38</v>
      </c>
      <c r="C5" s="7" t="n">
        <v>5000</v>
      </c>
      <c r="D5" s="4"/>
      <c r="E5" s="20" t="s">
        <v>39</v>
      </c>
      <c r="F5" s="4"/>
      <c r="G5" s="4"/>
      <c r="H5" s="4"/>
      <c r="I5" s="4"/>
    </row>
    <row r="6" customFormat="false" ht="15" hidden="false" customHeight="false" outlineLevel="0" collapsed="false">
      <c r="A6" s="4"/>
      <c r="B6" s="6" t="s">
        <v>40</v>
      </c>
      <c r="C6" s="21" t="n">
        <v>0.008</v>
      </c>
      <c r="D6" s="4"/>
      <c r="E6" s="20" t="s">
        <v>41</v>
      </c>
      <c r="F6" s="4"/>
      <c r="G6" s="4"/>
      <c r="H6" s="4"/>
      <c r="I6" s="4"/>
    </row>
    <row r="7" customFormat="false" ht="15" hidden="false" customHeight="false" outlineLevel="0" collapsed="false">
      <c r="A7" s="4"/>
      <c r="B7" s="6" t="s">
        <v>42</v>
      </c>
      <c r="C7" s="22" t="n">
        <v>0.3</v>
      </c>
      <c r="D7" s="4"/>
      <c r="E7" s="20" t="s">
        <v>43</v>
      </c>
      <c r="F7" s="4"/>
      <c r="G7" s="4"/>
      <c r="H7" s="4"/>
      <c r="I7" s="4"/>
    </row>
    <row r="8" customFormat="false" ht="15" hidden="false" customHeight="false" outlineLevel="0" collapsed="false">
      <c r="A8" s="4"/>
      <c r="B8" s="15" t="s">
        <v>30</v>
      </c>
      <c r="C8" s="16" t="n">
        <f aca="false">salario*pct_sugestao</f>
        <v>1500</v>
      </c>
      <c r="D8" s="4"/>
      <c r="E8" s="4"/>
      <c r="F8" s="4"/>
      <c r="G8" s="4"/>
      <c r="H8" s="4"/>
      <c r="I8" s="4"/>
    </row>
  </sheetData>
  <mergeCells count="2">
    <mergeCell ref="B1:E1"/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4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37.5" hidden="false" customHeight="true" outlineLevel="0" collapsed="false">
      <c r="A1" s="1"/>
      <c r="B1" s="2" t="s">
        <v>44</v>
      </c>
      <c r="C1" s="2"/>
      <c r="D1" s="2"/>
      <c r="E1" s="2"/>
      <c r="F1" s="2"/>
      <c r="G1" s="1"/>
      <c r="H1" s="1"/>
      <c r="I1" s="1"/>
    </row>
    <row r="2" customFormat="false" ht="19.5" hidden="false" customHeight="true" outlineLevel="0" collapsed="false">
      <c r="A2" s="1"/>
      <c r="B2" s="3" t="s">
        <v>45</v>
      </c>
      <c r="C2" s="3"/>
      <c r="D2" s="3"/>
      <c r="E2" s="3"/>
      <c r="F2" s="3"/>
      <c r="G2" s="1"/>
      <c r="H2" s="1"/>
      <c r="I2" s="1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</row>
    <row r="4" customFormat="false" ht="15" hidden="false" customHeight="false" outlineLevel="0" collapsed="false">
      <c r="A4" s="4"/>
      <c r="B4" s="5" t="s">
        <v>46</v>
      </c>
      <c r="C4" s="4"/>
      <c r="D4" s="4"/>
      <c r="E4" s="4"/>
      <c r="F4" s="4"/>
      <c r="G4" s="5" t="s">
        <v>47</v>
      </c>
      <c r="H4" s="4"/>
      <c r="I4" s="4"/>
    </row>
    <row r="5" customFormat="false" ht="15" hidden="false" customHeight="false" outlineLevel="0" collapsed="false">
      <c r="A5" s="4"/>
      <c r="B5" s="8" t="s">
        <v>48</v>
      </c>
      <c r="C5" s="8" t="s">
        <v>49</v>
      </c>
      <c r="D5" s="8" t="s">
        <v>5</v>
      </c>
      <c r="E5" s="8" t="s">
        <v>50</v>
      </c>
      <c r="F5" s="4"/>
      <c r="G5" s="8" t="s">
        <v>49</v>
      </c>
      <c r="H5" s="8" t="s">
        <v>51</v>
      </c>
      <c r="I5" s="4"/>
    </row>
    <row r="6" customFormat="false" ht="15" hidden="false" customHeight="false" outlineLevel="0" collapsed="false">
      <c r="A6" s="4"/>
      <c r="B6" s="23" t="str">
        <f aca="false">C6&amp;D6</f>
        <v>ConservadorPapel (CRI)</v>
      </c>
      <c r="C6" s="10" t="s">
        <v>52</v>
      </c>
      <c r="D6" s="10" t="s">
        <v>10</v>
      </c>
      <c r="E6" s="24" t="n">
        <v>0.4</v>
      </c>
      <c r="F6" s="4"/>
      <c r="G6" s="10" t="s">
        <v>52</v>
      </c>
      <c r="H6" s="11" t="n">
        <f aca="false">SUMIF($C$6:$C$23,G6,$E$6:$E$23)</f>
        <v>1</v>
      </c>
      <c r="I6" s="4"/>
    </row>
    <row r="7" customFormat="false" ht="15" hidden="false" customHeight="false" outlineLevel="0" collapsed="false">
      <c r="A7" s="4"/>
      <c r="B7" s="23" t="str">
        <f aca="false">C7&amp;D7</f>
        <v>ConservadorLogística</v>
      </c>
      <c r="C7" s="10" t="s">
        <v>52</v>
      </c>
      <c r="D7" s="10" t="s">
        <v>12</v>
      </c>
      <c r="E7" s="24" t="n">
        <v>0.2</v>
      </c>
      <c r="F7" s="4"/>
      <c r="G7" s="10" t="s">
        <v>14</v>
      </c>
      <c r="H7" s="11" t="n">
        <f aca="false">SUMIF($C$6:$C$23,G7,$E$6:$E$23)</f>
        <v>1</v>
      </c>
      <c r="I7" s="4"/>
    </row>
    <row r="8" customFormat="false" ht="15" hidden="false" customHeight="false" outlineLevel="0" collapsed="false">
      <c r="A8" s="4"/>
      <c r="B8" s="23" t="str">
        <f aca="false">C8&amp;D8</f>
        <v>ConservadorLajes corporativas</v>
      </c>
      <c r="C8" s="10" t="s">
        <v>52</v>
      </c>
      <c r="D8" s="10" t="s">
        <v>15</v>
      </c>
      <c r="E8" s="24" t="n">
        <v>0.1</v>
      </c>
      <c r="F8" s="4"/>
      <c r="G8" s="10" t="s">
        <v>53</v>
      </c>
      <c r="H8" s="11" t="n">
        <f aca="false">SUMIF($C$6:$C$23,G8,$E$6:$E$23)</f>
        <v>1</v>
      </c>
      <c r="I8" s="4"/>
    </row>
    <row r="9" customFormat="false" ht="15" hidden="false" customHeight="false" outlineLevel="0" collapsed="false">
      <c r="A9" s="4"/>
      <c r="B9" s="23" t="str">
        <f aca="false">C9&amp;D9</f>
        <v>ConservadorShoppings</v>
      </c>
      <c r="C9" s="10" t="s">
        <v>52</v>
      </c>
      <c r="D9" s="10" t="s">
        <v>16</v>
      </c>
      <c r="E9" s="24" t="n">
        <v>0.1</v>
      </c>
      <c r="F9" s="4"/>
      <c r="G9" s="4"/>
      <c r="H9" s="4"/>
      <c r="I9" s="4"/>
    </row>
    <row r="10" customFormat="false" ht="15" hidden="false" customHeight="false" outlineLevel="0" collapsed="false">
      <c r="A10" s="4"/>
      <c r="B10" s="23" t="str">
        <f aca="false">C10&amp;D10</f>
        <v>ConservadorFundo de fundos (FoF)</v>
      </c>
      <c r="C10" s="10" t="s">
        <v>52</v>
      </c>
      <c r="D10" s="10" t="s">
        <v>18</v>
      </c>
      <c r="E10" s="24" t="n">
        <v>0.15</v>
      </c>
      <c r="F10" s="4"/>
      <c r="G10" s="20" t="s">
        <v>54</v>
      </c>
      <c r="H10" s="4"/>
      <c r="I10" s="4"/>
    </row>
    <row r="11" customFormat="false" ht="15" hidden="false" customHeight="false" outlineLevel="0" collapsed="false">
      <c r="A11" s="4"/>
      <c r="B11" s="23" t="str">
        <f aca="false">C11&amp;D11</f>
        <v>ConservadorHíbridos</v>
      </c>
      <c r="C11" s="10" t="s">
        <v>52</v>
      </c>
      <c r="D11" s="10" t="s">
        <v>20</v>
      </c>
      <c r="E11" s="24" t="n">
        <v>0.05</v>
      </c>
      <c r="F11" s="4"/>
      <c r="G11" s="4"/>
      <c r="H11" s="4"/>
      <c r="I11" s="4"/>
    </row>
    <row r="12" customFormat="false" ht="15" hidden="false" customHeight="false" outlineLevel="0" collapsed="false">
      <c r="A12" s="4"/>
      <c r="B12" s="23" t="str">
        <f aca="false">C12&amp;D12</f>
        <v>ModeradoPapel (CRI)</v>
      </c>
      <c r="C12" s="10" t="s">
        <v>14</v>
      </c>
      <c r="D12" s="10" t="s">
        <v>10</v>
      </c>
      <c r="E12" s="24" t="n">
        <v>0.25</v>
      </c>
      <c r="F12" s="4"/>
      <c r="G12" s="4"/>
      <c r="H12" s="4"/>
      <c r="I12" s="4"/>
    </row>
    <row r="13" customFormat="false" ht="15" hidden="false" customHeight="false" outlineLevel="0" collapsed="false">
      <c r="A13" s="4"/>
      <c r="B13" s="23" t="str">
        <f aca="false">C13&amp;D13</f>
        <v>ModeradoLogística</v>
      </c>
      <c r="C13" s="10" t="s">
        <v>14</v>
      </c>
      <c r="D13" s="10" t="s">
        <v>12</v>
      </c>
      <c r="E13" s="24" t="n">
        <v>0.25</v>
      </c>
      <c r="F13" s="4"/>
      <c r="G13" s="4"/>
      <c r="H13" s="4"/>
      <c r="I13" s="4"/>
    </row>
    <row r="14" customFormat="false" ht="15" hidden="false" customHeight="false" outlineLevel="0" collapsed="false">
      <c r="A14" s="4"/>
      <c r="B14" s="23" t="str">
        <f aca="false">C14&amp;D14</f>
        <v>ModeradoLajes corporativas</v>
      </c>
      <c r="C14" s="10" t="s">
        <v>14</v>
      </c>
      <c r="D14" s="10" t="s">
        <v>15</v>
      </c>
      <c r="E14" s="24" t="n">
        <v>0.15</v>
      </c>
      <c r="F14" s="4"/>
      <c r="G14" s="4"/>
      <c r="H14" s="4"/>
      <c r="I14" s="4"/>
    </row>
    <row r="15" customFormat="false" ht="15" hidden="false" customHeight="false" outlineLevel="0" collapsed="false">
      <c r="A15" s="4"/>
      <c r="B15" s="23" t="str">
        <f aca="false">C15&amp;D15</f>
        <v>ModeradoShoppings</v>
      </c>
      <c r="C15" s="10" t="s">
        <v>14</v>
      </c>
      <c r="D15" s="10" t="s">
        <v>16</v>
      </c>
      <c r="E15" s="24" t="n">
        <v>0.15</v>
      </c>
      <c r="F15" s="4"/>
      <c r="G15" s="4"/>
      <c r="H15" s="4"/>
      <c r="I15" s="4"/>
    </row>
    <row r="16" customFormat="false" ht="15" hidden="false" customHeight="false" outlineLevel="0" collapsed="false">
      <c r="A16" s="4"/>
      <c r="B16" s="23" t="str">
        <f aca="false">C16&amp;D16</f>
        <v>ModeradoFundo de fundos (FoF)</v>
      </c>
      <c r="C16" s="10" t="s">
        <v>14</v>
      </c>
      <c r="D16" s="10" t="s">
        <v>18</v>
      </c>
      <c r="E16" s="24" t="n">
        <v>0.1</v>
      </c>
      <c r="F16" s="4"/>
      <c r="G16" s="4"/>
      <c r="H16" s="4"/>
      <c r="I16" s="4"/>
    </row>
    <row r="17" customFormat="false" ht="15" hidden="false" customHeight="false" outlineLevel="0" collapsed="false">
      <c r="A17" s="4"/>
      <c r="B17" s="23" t="str">
        <f aca="false">C17&amp;D17</f>
        <v>ModeradoHíbridos</v>
      </c>
      <c r="C17" s="10" t="s">
        <v>14</v>
      </c>
      <c r="D17" s="10" t="s">
        <v>20</v>
      </c>
      <c r="E17" s="24" t="n">
        <v>0.1</v>
      </c>
      <c r="F17" s="4"/>
      <c r="G17" s="4"/>
      <c r="H17" s="4"/>
      <c r="I17" s="4"/>
    </row>
    <row r="18" customFormat="false" ht="15" hidden="false" customHeight="false" outlineLevel="0" collapsed="false">
      <c r="A18" s="4"/>
      <c r="B18" s="23" t="str">
        <f aca="false">C18&amp;D18</f>
        <v>ArrojadoPapel (CRI)</v>
      </c>
      <c r="C18" s="10" t="s">
        <v>53</v>
      </c>
      <c r="D18" s="10" t="s">
        <v>10</v>
      </c>
      <c r="E18" s="24" t="n">
        <v>0.1</v>
      </c>
      <c r="F18" s="4"/>
      <c r="G18" s="4"/>
      <c r="H18" s="4"/>
      <c r="I18" s="4"/>
    </row>
    <row r="19" customFormat="false" ht="15" hidden="false" customHeight="false" outlineLevel="0" collapsed="false">
      <c r="A19" s="4"/>
      <c r="B19" s="23" t="str">
        <f aca="false">C19&amp;D19</f>
        <v>ArrojadoLogística</v>
      </c>
      <c r="C19" s="10" t="s">
        <v>53</v>
      </c>
      <c r="D19" s="10" t="s">
        <v>12</v>
      </c>
      <c r="E19" s="24" t="n">
        <v>0.25</v>
      </c>
      <c r="F19" s="4"/>
      <c r="G19" s="4"/>
      <c r="H19" s="4"/>
      <c r="I19" s="4"/>
    </row>
    <row r="20" customFormat="false" ht="15" hidden="false" customHeight="false" outlineLevel="0" collapsed="false">
      <c r="A20" s="4"/>
      <c r="B20" s="23" t="str">
        <f aca="false">C20&amp;D20</f>
        <v>ArrojadoLajes corporativas</v>
      </c>
      <c r="C20" s="10" t="s">
        <v>53</v>
      </c>
      <c r="D20" s="10" t="s">
        <v>15</v>
      </c>
      <c r="E20" s="24" t="n">
        <v>0.2</v>
      </c>
      <c r="F20" s="4"/>
      <c r="G20" s="4"/>
      <c r="H20" s="4"/>
      <c r="I20" s="4"/>
    </row>
    <row r="21" customFormat="false" ht="15" hidden="false" customHeight="false" outlineLevel="0" collapsed="false">
      <c r="A21" s="4"/>
      <c r="B21" s="23" t="str">
        <f aca="false">C21&amp;D21</f>
        <v>ArrojadoShoppings</v>
      </c>
      <c r="C21" s="10" t="s">
        <v>53</v>
      </c>
      <c r="D21" s="10" t="s">
        <v>16</v>
      </c>
      <c r="E21" s="24" t="n">
        <v>0.25</v>
      </c>
      <c r="F21" s="4"/>
      <c r="G21" s="4"/>
      <c r="H21" s="4"/>
      <c r="I21" s="4"/>
    </row>
    <row r="22" customFormat="false" ht="15" hidden="false" customHeight="false" outlineLevel="0" collapsed="false">
      <c r="A22" s="4"/>
      <c r="B22" s="23" t="str">
        <f aca="false">C22&amp;D22</f>
        <v>ArrojadoFundo de fundos (FoF)</v>
      </c>
      <c r="C22" s="10" t="s">
        <v>53</v>
      </c>
      <c r="D22" s="10" t="s">
        <v>18</v>
      </c>
      <c r="E22" s="24" t="n">
        <v>0.05</v>
      </c>
      <c r="F22" s="4"/>
      <c r="G22" s="4"/>
      <c r="H22" s="4"/>
      <c r="I22" s="4"/>
    </row>
    <row r="23" customFormat="false" ht="15" hidden="false" customHeight="false" outlineLevel="0" collapsed="false">
      <c r="A23" s="4"/>
      <c r="B23" s="23" t="str">
        <f aca="false">C23&amp;D23</f>
        <v>ArrojadoHíbridos</v>
      </c>
      <c r="C23" s="10" t="s">
        <v>53</v>
      </c>
      <c r="D23" s="10" t="s">
        <v>20</v>
      </c>
      <c r="E23" s="24" t="n">
        <v>0.15</v>
      </c>
      <c r="F23" s="4"/>
      <c r="G23" s="4"/>
      <c r="H23" s="4"/>
      <c r="I23" s="4"/>
    </row>
  </sheetData>
  <mergeCells count="2">
    <mergeCell ref="B1:F1"/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2026-10-05T22:53:00Z</dcterms:created>
  <dc:creator>openpyxl</dc:creator>
  <dc:description/>
  <dc:language>en-US</dc:language>
  <cp:lastModifiedBy/>
  <dcterms:modified xsi:type="dcterms:W3CDTF">2026-10-05T22:53:02Z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